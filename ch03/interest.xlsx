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예금" sheetId="1" r:id="rId4"/>
    <sheet state="visible" name="예금(응용)" sheetId="2" r:id="rId5"/>
    <sheet state="visible" name="적금" sheetId="3" r:id="rId6"/>
  </sheets>
  <definedNames/>
  <calcPr/>
</workbook>
</file>

<file path=xl/sharedStrings.xml><?xml version="1.0" encoding="utf-8"?>
<sst xmlns="http://schemas.openxmlformats.org/spreadsheetml/2006/main" count="50" uniqueCount="37">
  <si>
    <t>왕초보를 위한 파이썬</t>
  </si>
  <si>
    <t>단리</t>
  </si>
  <si>
    <t>https://wikidocs.net/109529</t>
  </si>
  <si>
    <t>원금(p)</t>
  </si>
  <si>
    <t>단리 이율(r)</t>
  </si>
  <si>
    <t>기간(t)</t>
  </si>
  <si>
    <t>이자</t>
  </si>
  <si>
    <t xml:space="preserve"> &lt;-- 문제 1</t>
  </si>
  <si>
    <t>원리금</t>
  </si>
  <si>
    <t xml:space="preserve"> &lt;-- 문제 2</t>
  </si>
  <si>
    <t>복리</t>
  </si>
  <si>
    <t>https://wikidocs.net/109530</t>
  </si>
  <si>
    <t>연이율(r)</t>
  </si>
  <si>
    <t>복리 횟수(n)</t>
  </si>
  <si>
    <t>← 분수(예: 1/2)를 넣으면 오차 발생</t>
  </si>
  <si>
    <t>복리(복리 횟수가 1일 때)</t>
  </si>
  <si>
    <t>https://wikidocs.net/109583</t>
  </si>
  <si>
    <t>원금</t>
  </si>
  <si>
    <t>연이율</t>
  </si>
  <si>
    <t>기간</t>
  </si>
  <si>
    <t>단리 이자</t>
  </si>
  <si>
    <t>이율</t>
  </si>
  <si>
    <t>기간(년)</t>
  </si>
  <si>
    <t>세전이자</t>
  </si>
  <si>
    <t>차감세액</t>
  </si>
  <si>
    <t>해지금액</t>
  </si>
  <si>
    <t>원금, 기간, 이자를 알 때 이율 구하기</t>
  </si>
  <si>
    <t>월납입금</t>
  </si>
  <si>
    <t xml:space="preserve"> </t>
  </si>
  <si>
    <t>기간(개월)</t>
  </si>
  <si>
    <t>연이율(단리)</t>
  </si>
  <si>
    <t>세전 이자</t>
  </si>
  <si>
    <t>세후 수령액</t>
  </si>
  <si>
    <t>일반 15.4%</t>
  </si>
  <si>
    <t>세금우대 9.5%</t>
  </si>
  <si>
    <t>비과세 0%</t>
  </si>
  <si>
    <t>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</si>
</sst>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%"/>
    <numFmt numFmtId="165" formatCode="[$₩-412]#,##0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u/>
      <color rgb="FF1155CC"/>
      <name val="Arial"/>
      <scheme val="minor"/>
    </font>
    <font>
      <u/>
      <color rgb="FF1155CC"/>
    </font>
    <font>
      <u/>
      <color rgb="FF0000FF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3" xfId="0" applyAlignment="1" applyBorder="1" applyFont="1" applyNumberFormat="1">
      <alignment readingOrder="0"/>
    </xf>
    <xf borderId="1" fillId="0" fontId="1" numFmtId="164" xfId="0" applyAlignment="1" applyBorder="1" applyFont="1" applyNumberFormat="1">
      <alignment readingOrder="0"/>
    </xf>
    <xf borderId="1" fillId="0" fontId="1" numFmtId="4" xfId="0" applyBorder="1" applyFont="1" applyNumberFormat="1"/>
    <xf borderId="0" fillId="0" fontId="4" numFmtId="0" xfId="0" applyAlignment="1" applyFont="1">
      <alignment readingOrder="0"/>
    </xf>
    <xf borderId="1" fillId="0" fontId="1" numFmtId="10" xfId="0" applyAlignment="1" applyBorder="1" applyFont="1" applyNumberFormat="1">
      <alignment readingOrder="0"/>
    </xf>
    <xf borderId="0" fillId="0" fontId="5" numFmtId="0" xfId="0" applyAlignment="1" applyFont="1">
      <alignment readingOrder="0" vertical="bottom"/>
    </xf>
    <xf borderId="0" fillId="0" fontId="5" numFmtId="3" xfId="0" applyAlignment="1" applyFont="1" applyNumberFormat="1">
      <alignment vertical="bottom"/>
    </xf>
    <xf borderId="1" fillId="0" fontId="5" numFmtId="0" xfId="0" applyAlignment="1" applyBorder="1" applyFont="1">
      <alignment vertical="bottom"/>
    </xf>
    <xf borderId="1" fillId="0" fontId="5" numFmtId="3" xfId="0" applyAlignment="1" applyBorder="1" applyFont="1" applyNumberFormat="1">
      <alignment horizontal="right" vertical="bottom"/>
    </xf>
    <xf borderId="1" fillId="0" fontId="5" numFmtId="10" xfId="0" applyAlignment="1" applyBorder="1" applyFont="1" applyNumberFormat="1">
      <alignment horizontal="right" vertical="bottom"/>
    </xf>
    <xf borderId="1" fillId="0" fontId="5" numFmtId="0" xfId="0" applyAlignment="1" applyBorder="1" applyFont="1">
      <alignment horizontal="right" vertical="bottom"/>
    </xf>
    <xf borderId="1" fillId="0" fontId="5" numFmtId="3" xfId="0" applyAlignment="1" applyBorder="1" applyFont="1" applyNumberFormat="1">
      <alignment horizontal="right" vertical="bottom"/>
    </xf>
    <xf borderId="1" fillId="0" fontId="1" numFmtId="3" xfId="0" applyAlignment="1" applyBorder="1" applyFont="1" applyNumberFormat="1">
      <alignment readingOrder="0"/>
    </xf>
    <xf borderId="1" fillId="0" fontId="1" numFmtId="10" xfId="0" applyBorder="1" applyFont="1" applyNumberFormat="1"/>
    <xf borderId="0" fillId="2" fontId="1" numFmtId="0" xfId="0" applyAlignment="1" applyFill="1" applyFont="1">
      <alignment readingOrder="0"/>
    </xf>
    <xf borderId="2" fillId="2" fontId="1" numFmtId="3" xfId="0" applyAlignment="1" applyBorder="1" applyFont="1" applyNumberFormat="1">
      <alignment readingOrder="0"/>
    </xf>
    <xf borderId="0" fillId="2" fontId="1" numFmtId="0" xfId="0" applyFont="1"/>
    <xf borderId="2" fillId="2" fontId="1" numFmtId="0" xfId="0" applyAlignment="1" applyBorder="1" applyFont="1">
      <alignment readingOrder="0"/>
    </xf>
    <xf borderId="2" fillId="2" fontId="1" numFmtId="10" xfId="0" applyAlignment="1" applyBorder="1" applyFont="1" applyNumberFormat="1">
      <alignment readingOrder="0"/>
    </xf>
    <xf borderId="0" fillId="2" fontId="1" numFmtId="165" xfId="0" applyFont="1" applyNumberFormat="1"/>
    <xf borderId="0" fillId="2" fontId="1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ikidocs.net/109529" TargetMode="External"/><Relationship Id="rId2" Type="http://schemas.openxmlformats.org/officeDocument/2006/relationships/hyperlink" Target="https://wikidocs.net/109530" TargetMode="External"/><Relationship Id="rId3" Type="http://schemas.openxmlformats.org/officeDocument/2006/relationships/hyperlink" Target="https://wikidocs.net/109583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</cols>
  <sheetData>
    <row r="1">
      <c r="A1" s="1" t="s">
        <v>0</v>
      </c>
      <c r="B1" s="2"/>
    </row>
    <row r="2">
      <c r="A2" s="1"/>
      <c r="B2" s="2"/>
      <c r="C2" s="3"/>
    </row>
    <row r="3">
      <c r="A3" s="1" t="s">
        <v>1</v>
      </c>
    </row>
    <row r="4">
      <c r="A4" s="4" t="s">
        <v>2</v>
      </c>
      <c r="B4" s="3"/>
    </row>
    <row r="5">
      <c r="A5" s="5" t="s">
        <v>3</v>
      </c>
      <c r="B5" s="6">
        <v>1.0E7</v>
      </c>
    </row>
    <row r="6">
      <c r="A6" s="5" t="s">
        <v>4</v>
      </c>
      <c r="B6" s="7">
        <v>0.03875</v>
      </c>
    </row>
    <row r="7">
      <c r="A7" s="5" t="s">
        <v>5</v>
      </c>
      <c r="B7" s="5">
        <v>5.0</v>
      </c>
    </row>
    <row r="8">
      <c r="A8" s="5" t="s">
        <v>6</v>
      </c>
      <c r="B8" s="8">
        <f>B5*B6*B7</f>
        <v>1937500</v>
      </c>
      <c r="C8" s="1" t="s">
        <v>7</v>
      </c>
    </row>
    <row r="9">
      <c r="A9" s="5" t="s">
        <v>8</v>
      </c>
      <c r="B9" s="8">
        <f>B5*(1+B6*B7)</f>
        <v>11937500</v>
      </c>
      <c r="C9" s="1" t="s">
        <v>9</v>
      </c>
    </row>
    <row r="11">
      <c r="A11" s="1"/>
    </row>
    <row r="12">
      <c r="A12" s="1" t="s">
        <v>10</v>
      </c>
    </row>
    <row r="13">
      <c r="A13" s="9" t="s">
        <v>11</v>
      </c>
      <c r="B13" s="1"/>
    </row>
    <row r="14">
      <c r="A14" s="5" t="s">
        <v>3</v>
      </c>
      <c r="B14" s="6">
        <v>1500000.0</v>
      </c>
    </row>
    <row r="15">
      <c r="A15" s="5" t="s">
        <v>12</v>
      </c>
      <c r="B15" s="7">
        <v>0.043</v>
      </c>
    </row>
    <row r="16">
      <c r="A16" s="5" t="s">
        <v>5</v>
      </c>
      <c r="B16" s="5">
        <v>6.0</v>
      </c>
    </row>
    <row r="17">
      <c r="A17" s="5" t="s">
        <v>13</v>
      </c>
      <c r="B17" s="5">
        <v>0.5</v>
      </c>
      <c r="C17" s="1" t="s">
        <v>14</v>
      </c>
    </row>
    <row r="18">
      <c r="A18" s="5" t="s">
        <v>8</v>
      </c>
      <c r="B18" s="8">
        <f>B14*(POWER(1 + B15/B17, B17*B16))</f>
        <v>1921236.084</v>
      </c>
    </row>
    <row r="21">
      <c r="A21" s="1" t="s">
        <v>15</v>
      </c>
      <c r="C21" s="3"/>
    </row>
    <row r="22">
      <c r="A22" s="9" t="s">
        <v>16</v>
      </c>
      <c r="C22" s="3"/>
    </row>
    <row r="23">
      <c r="A23" s="5" t="s">
        <v>17</v>
      </c>
      <c r="B23" s="6">
        <v>3600000.0</v>
      </c>
    </row>
    <row r="24">
      <c r="A24" s="5" t="s">
        <v>18</v>
      </c>
      <c r="B24" s="10">
        <v>0.058</v>
      </c>
    </row>
    <row r="25">
      <c r="A25" s="5" t="s">
        <v>19</v>
      </c>
      <c r="B25" s="5">
        <v>2.0</v>
      </c>
    </row>
    <row r="26">
      <c r="A26" s="5" t="s">
        <v>8</v>
      </c>
      <c r="B26" s="8">
        <f>B23*(POWER(1 + B24, B25))</f>
        <v>4029710.4</v>
      </c>
    </row>
  </sheetData>
  <hyperlinks>
    <hyperlink r:id="rId1" ref="A4"/>
    <hyperlink r:id="rId2" ref="A13"/>
    <hyperlink r:id="rId3" ref="A22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20</v>
      </c>
      <c r="B1" s="12"/>
    </row>
    <row r="2">
      <c r="A2" s="13" t="s">
        <v>17</v>
      </c>
      <c r="B2" s="14">
        <v>5000000.0</v>
      </c>
    </row>
    <row r="3">
      <c r="A3" s="13" t="s">
        <v>21</v>
      </c>
      <c r="B3" s="15">
        <v>0.008</v>
      </c>
    </row>
    <row r="4">
      <c r="A4" s="13" t="s">
        <v>22</v>
      </c>
      <c r="B4" s="16">
        <f>5/12</f>
        <v>0.4166666667</v>
      </c>
    </row>
    <row r="5">
      <c r="A5" s="13" t="s">
        <v>23</v>
      </c>
      <c r="B5" s="17">
        <f>round(B2*B3*B4,0)</f>
        <v>16667</v>
      </c>
    </row>
    <row r="6">
      <c r="A6" s="13" t="s">
        <v>24</v>
      </c>
      <c r="B6" s="17">
        <f>round(B5*0.154, -1)</f>
        <v>2570</v>
      </c>
    </row>
    <row r="7">
      <c r="A7" s="13" t="s">
        <v>25</v>
      </c>
      <c r="B7" s="17">
        <f>B2+B5-B6</f>
        <v>5014097</v>
      </c>
    </row>
    <row r="10">
      <c r="A10" s="1" t="s">
        <v>26</v>
      </c>
    </row>
    <row r="11">
      <c r="A11" s="5" t="s">
        <v>17</v>
      </c>
      <c r="B11" s="18">
        <v>5014197.0</v>
      </c>
    </row>
    <row r="12">
      <c r="A12" s="5" t="s">
        <v>23</v>
      </c>
      <c r="B12" s="18">
        <v>27323.0</v>
      </c>
    </row>
    <row r="13">
      <c r="A13" s="5" t="s">
        <v>22</v>
      </c>
      <c r="B13" s="5">
        <f>5/12</f>
        <v>0.4166666667</v>
      </c>
    </row>
    <row r="14">
      <c r="A14" s="5" t="s">
        <v>21</v>
      </c>
      <c r="B14" s="19">
        <f>round(B12 / (B11 * B13), 3)</f>
        <v>0.013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</cols>
  <sheetData>
    <row r="1">
      <c r="A1" s="20" t="s">
        <v>27</v>
      </c>
      <c r="B1" s="21">
        <v>76886.0</v>
      </c>
      <c r="C1" s="20" t="s">
        <v>28</v>
      </c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>
      <c r="A2" s="20" t="s">
        <v>29</v>
      </c>
      <c r="B2" s="23">
        <v>60.0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>
      <c r="A3" s="20" t="s">
        <v>30</v>
      </c>
      <c r="B3" s="24">
        <v>0.039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>
      <c r="A4" s="22"/>
      <c r="B4" s="22"/>
      <c r="C4" s="22"/>
      <c r="D4" s="22"/>
      <c r="E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>
      <c r="A5" s="20" t="s">
        <v>17</v>
      </c>
      <c r="B5" s="25">
        <f>B$1*B$2</f>
        <v>4613160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>
      <c r="A6" s="20" t="s">
        <v>31</v>
      </c>
      <c r="B6" s="25">
        <f>max(C14:C1009)</f>
        <v>457278.33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>
      <c r="A7" s="20"/>
      <c r="B7" s="25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>
      <c r="A8" s="20" t="s">
        <v>32</v>
      </c>
      <c r="B8" s="25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>
      <c r="A9" s="20" t="s">
        <v>33</v>
      </c>
      <c r="B9" s="25">
        <f>round(B$5+B$6*(1-0.154),0)</f>
        <v>5000017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>
      <c r="A10" s="20" t="s">
        <v>34</v>
      </c>
      <c r="B10" s="25">
        <f>round(B$5+B$6*(1-0.095),0)</f>
        <v>5026997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>
      <c r="A11" s="20" t="s">
        <v>35</v>
      </c>
      <c r="B11" s="25">
        <f>round(B$5+B$6,0)</f>
        <v>5070438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>
      <c r="A13" s="20" t="s">
        <v>36</v>
      </c>
      <c r="B13" s="20" t="s">
        <v>17</v>
      </c>
      <c r="C13" s="20" t="s">
        <v>6</v>
      </c>
      <c r="D13" s="20" t="s">
        <v>8</v>
      </c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>
      <c r="A14" s="22">
        <f t="array" ref="A14:A73">SEQUENCE(B2,1)</f>
        <v>1</v>
      </c>
      <c r="B14" s="26">
        <f>B$1</f>
        <v>76886</v>
      </c>
      <c r="C14" s="22">
        <f>floor(B14*B$3/12, 1)</f>
        <v>249</v>
      </c>
      <c r="D14" s="26">
        <f>B14+C14</f>
        <v>77135</v>
      </c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>
      <c r="A15" s="22">
        <v>2.0</v>
      </c>
      <c r="B15" s="26">
        <f t="shared" ref="B15:B73" si="1">if(A15, B14+B$1, "")</f>
        <v>153772</v>
      </c>
      <c r="C15" s="22">
        <f t="shared" ref="C15:C73" si="2">if(A15, C14+floor(B15*B$3/12, 0.01), "")</f>
        <v>748.75</v>
      </c>
      <c r="D15" s="26">
        <f t="shared" ref="D15:D73" si="3">if(A15, B15+C15, "")</f>
        <v>154520.75</v>
      </c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>
      <c r="A16" s="22">
        <v>3.0</v>
      </c>
      <c r="B16" s="26">
        <f t="shared" si="1"/>
        <v>230658</v>
      </c>
      <c r="C16" s="22">
        <f t="shared" si="2"/>
        <v>1498.38</v>
      </c>
      <c r="D16" s="26">
        <f t="shared" si="3"/>
        <v>232156.38</v>
      </c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>
      <c r="A17" s="22">
        <v>4.0</v>
      </c>
      <c r="B17" s="26">
        <f t="shared" si="1"/>
        <v>307544</v>
      </c>
      <c r="C17" s="22">
        <f t="shared" si="2"/>
        <v>2497.89</v>
      </c>
      <c r="D17" s="26">
        <f t="shared" si="3"/>
        <v>310041.89</v>
      </c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>
      <c r="A18" s="22">
        <v>5.0</v>
      </c>
      <c r="B18" s="26">
        <f t="shared" si="1"/>
        <v>384430</v>
      </c>
      <c r="C18" s="22">
        <f t="shared" si="2"/>
        <v>3747.28</v>
      </c>
      <c r="D18" s="26">
        <f t="shared" si="3"/>
        <v>388177.28</v>
      </c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>
      <c r="A19" s="22">
        <v>6.0</v>
      </c>
      <c r="B19" s="26">
        <f t="shared" si="1"/>
        <v>461316</v>
      </c>
      <c r="C19" s="22">
        <f t="shared" si="2"/>
        <v>5246.55</v>
      </c>
      <c r="D19" s="26">
        <f t="shared" si="3"/>
        <v>466562.55</v>
      </c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>
      <c r="A20" s="22">
        <v>7.0</v>
      </c>
      <c r="B20" s="26">
        <f t="shared" si="1"/>
        <v>538202</v>
      </c>
      <c r="C20" s="22">
        <f t="shared" si="2"/>
        <v>6995.7</v>
      </c>
      <c r="D20" s="26">
        <f t="shared" si="3"/>
        <v>545197.7</v>
      </c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>
      <c r="A21" s="22">
        <v>8.0</v>
      </c>
      <c r="B21" s="26">
        <f t="shared" si="1"/>
        <v>615088</v>
      </c>
      <c r="C21" s="22">
        <f t="shared" si="2"/>
        <v>8994.73</v>
      </c>
      <c r="D21" s="26">
        <f t="shared" si="3"/>
        <v>624082.73</v>
      </c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>
      <c r="A22" s="22">
        <v>9.0</v>
      </c>
      <c r="B22" s="26">
        <f t="shared" si="1"/>
        <v>691974</v>
      </c>
      <c r="C22" s="22">
        <f t="shared" si="2"/>
        <v>11243.64</v>
      </c>
      <c r="D22" s="26">
        <f t="shared" si="3"/>
        <v>703217.64</v>
      </c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>
      <c r="A23" s="22">
        <v>10.0</v>
      </c>
      <c r="B23" s="26">
        <f t="shared" si="1"/>
        <v>768860</v>
      </c>
      <c r="C23" s="22">
        <f t="shared" si="2"/>
        <v>13742.43</v>
      </c>
      <c r="D23" s="26">
        <f t="shared" si="3"/>
        <v>782602.43</v>
      </c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>
      <c r="A24" s="22">
        <v>11.0</v>
      </c>
      <c r="B24" s="26">
        <f t="shared" si="1"/>
        <v>845746</v>
      </c>
      <c r="C24" s="22">
        <f t="shared" si="2"/>
        <v>16491.1</v>
      </c>
      <c r="D24" s="26">
        <f t="shared" si="3"/>
        <v>862237.1</v>
      </c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>
      <c r="A25" s="22">
        <v>12.0</v>
      </c>
      <c r="B25" s="26">
        <f t="shared" si="1"/>
        <v>922632</v>
      </c>
      <c r="C25" s="22">
        <f t="shared" si="2"/>
        <v>19489.65</v>
      </c>
      <c r="D25" s="26">
        <f t="shared" si="3"/>
        <v>942121.65</v>
      </c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>
      <c r="A26" s="22">
        <v>13.0</v>
      </c>
      <c r="B26" s="26">
        <f t="shared" si="1"/>
        <v>999518</v>
      </c>
      <c r="C26" s="22">
        <f t="shared" si="2"/>
        <v>22738.08</v>
      </c>
      <c r="D26" s="26">
        <f t="shared" si="3"/>
        <v>1022256.08</v>
      </c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>
      <c r="A27" s="22">
        <v>14.0</v>
      </c>
      <c r="B27" s="26">
        <f t="shared" si="1"/>
        <v>1076404</v>
      </c>
      <c r="C27" s="22">
        <f t="shared" si="2"/>
        <v>26236.39</v>
      </c>
      <c r="D27" s="26">
        <f t="shared" si="3"/>
        <v>1102640.39</v>
      </c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>
      <c r="A28" s="22">
        <v>15.0</v>
      </c>
      <c r="B28" s="26">
        <f t="shared" si="1"/>
        <v>1153290</v>
      </c>
      <c r="C28" s="22">
        <f t="shared" si="2"/>
        <v>29984.58</v>
      </c>
      <c r="D28" s="26">
        <f t="shared" si="3"/>
        <v>1183274.58</v>
      </c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>
      <c r="A29" s="22">
        <v>16.0</v>
      </c>
      <c r="B29" s="26">
        <f t="shared" si="1"/>
        <v>1230176</v>
      </c>
      <c r="C29" s="22">
        <f t="shared" si="2"/>
        <v>33982.65</v>
      </c>
      <c r="D29" s="26">
        <f t="shared" si="3"/>
        <v>1264158.65</v>
      </c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>
      <c r="A30" s="22">
        <v>17.0</v>
      </c>
      <c r="B30" s="26">
        <f t="shared" si="1"/>
        <v>1307062</v>
      </c>
      <c r="C30" s="22">
        <f t="shared" si="2"/>
        <v>38230.6</v>
      </c>
      <c r="D30" s="26">
        <f t="shared" si="3"/>
        <v>1345292.6</v>
      </c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>
      <c r="A31" s="22">
        <v>18.0</v>
      </c>
      <c r="B31" s="26">
        <f t="shared" si="1"/>
        <v>1383948</v>
      </c>
      <c r="C31" s="22">
        <f t="shared" si="2"/>
        <v>42728.43</v>
      </c>
      <c r="D31" s="26">
        <f t="shared" si="3"/>
        <v>1426676.43</v>
      </c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>
      <c r="A32" s="22">
        <v>19.0</v>
      </c>
      <c r="B32" s="26">
        <f t="shared" si="1"/>
        <v>1460834</v>
      </c>
      <c r="C32" s="22">
        <f t="shared" si="2"/>
        <v>47476.14</v>
      </c>
      <c r="D32" s="26">
        <f t="shared" si="3"/>
        <v>1508310.14</v>
      </c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>
      <c r="A33" s="22">
        <v>20.0</v>
      </c>
      <c r="B33" s="26">
        <f t="shared" si="1"/>
        <v>1537720</v>
      </c>
      <c r="C33" s="22">
        <f t="shared" si="2"/>
        <v>52473.73</v>
      </c>
      <c r="D33" s="26">
        <f t="shared" si="3"/>
        <v>1590193.73</v>
      </c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>
      <c r="A34" s="22">
        <v>21.0</v>
      </c>
      <c r="B34" s="26">
        <f t="shared" si="1"/>
        <v>1614606</v>
      </c>
      <c r="C34" s="22">
        <f t="shared" si="2"/>
        <v>57721.19</v>
      </c>
      <c r="D34" s="26">
        <f t="shared" si="3"/>
        <v>1672327.19</v>
      </c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>
      <c r="A35" s="22">
        <v>22.0</v>
      </c>
      <c r="B35" s="26">
        <f t="shared" si="1"/>
        <v>1691492</v>
      </c>
      <c r="C35" s="22">
        <f t="shared" si="2"/>
        <v>63218.53</v>
      </c>
      <c r="D35" s="26">
        <f t="shared" si="3"/>
        <v>1754710.53</v>
      </c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>
      <c r="A36" s="22">
        <v>23.0</v>
      </c>
      <c r="B36" s="26">
        <f t="shared" si="1"/>
        <v>1768378</v>
      </c>
      <c r="C36" s="22">
        <f t="shared" si="2"/>
        <v>68965.75</v>
      </c>
      <c r="D36" s="26">
        <f t="shared" si="3"/>
        <v>1837343.75</v>
      </c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>
      <c r="A37" s="22">
        <v>24.0</v>
      </c>
      <c r="B37" s="26">
        <f t="shared" si="1"/>
        <v>1845264</v>
      </c>
      <c r="C37" s="22">
        <f t="shared" si="2"/>
        <v>74962.85</v>
      </c>
      <c r="D37" s="26">
        <f t="shared" si="3"/>
        <v>1920226.85</v>
      </c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>
      <c r="A38" s="22">
        <v>25.0</v>
      </c>
      <c r="B38" s="26">
        <f t="shared" si="1"/>
        <v>1922150</v>
      </c>
      <c r="C38" s="22">
        <f t="shared" si="2"/>
        <v>81209.83</v>
      </c>
      <c r="D38" s="26">
        <f t="shared" si="3"/>
        <v>2003359.83</v>
      </c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>
      <c r="A39" s="22">
        <v>26.0</v>
      </c>
      <c r="B39" s="26">
        <f t="shared" si="1"/>
        <v>1999036</v>
      </c>
      <c r="C39" s="22">
        <f t="shared" si="2"/>
        <v>87706.69</v>
      </c>
      <c r="D39" s="26">
        <f t="shared" si="3"/>
        <v>2086742.69</v>
      </c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>
      <c r="A40" s="22">
        <v>27.0</v>
      </c>
      <c r="B40" s="26">
        <f t="shared" si="1"/>
        <v>2075922</v>
      </c>
      <c r="C40" s="22">
        <f t="shared" si="2"/>
        <v>94453.43</v>
      </c>
      <c r="D40" s="26">
        <f t="shared" si="3"/>
        <v>2170375.43</v>
      </c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>
      <c r="A41" s="22">
        <v>28.0</v>
      </c>
      <c r="B41" s="26">
        <f t="shared" si="1"/>
        <v>2152808</v>
      </c>
      <c r="C41" s="22">
        <f t="shared" si="2"/>
        <v>101450.05</v>
      </c>
      <c r="D41" s="26">
        <f t="shared" si="3"/>
        <v>2254258.05</v>
      </c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>
      <c r="A42" s="22">
        <v>29.0</v>
      </c>
      <c r="B42" s="26">
        <f t="shared" si="1"/>
        <v>2229694</v>
      </c>
      <c r="C42" s="22">
        <f t="shared" si="2"/>
        <v>108696.55</v>
      </c>
      <c r="D42" s="26">
        <f t="shared" si="3"/>
        <v>2338390.55</v>
      </c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>
      <c r="A43" s="22">
        <v>30.0</v>
      </c>
      <c r="B43" s="26">
        <f t="shared" si="1"/>
        <v>2306580</v>
      </c>
      <c r="C43" s="22">
        <f t="shared" si="2"/>
        <v>116192.93</v>
      </c>
      <c r="D43" s="26">
        <f t="shared" si="3"/>
        <v>2422772.93</v>
      </c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>
      <c r="A44" s="22">
        <v>31.0</v>
      </c>
      <c r="B44" s="26">
        <f t="shared" si="1"/>
        <v>2383466</v>
      </c>
      <c r="C44" s="22">
        <f t="shared" si="2"/>
        <v>123939.19</v>
      </c>
      <c r="D44" s="26">
        <f t="shared" si="3"/>
        <v>2507405.19</v>
      </c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>
      <c r="A45" s="22">
        <v>32.0</v>
      </c>
      <c r="B45" s="26">
        <f t="shared" si="1"/>
        <v>2460352</v>
      </c>
      <c r="C45" s="22">
        <f t="shared" si="2"/>
        <v>131935.33</v>
      </c>
      <c r="D45" s="26">
        <f t="shared" si="3"/>
        <v>2592287.33</v>
      </c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>
      <c r="A46" s="22">
        <v>33.0</v>
      </c>
      <c r="B46" s="26">
        <f t="shared" si="1"/>
        <v>2537238</v>
      </c>
      <c r="C46" s="22">
        <f t="shared" si="2"/>
        <v>140181.35</v>
      </c>
      <c r="D46" s="26">
        <f t="shared" si="3"/>
        <v>2677419.35</v>
      </c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>
      <c r="A47" s="22">
        <v>34.0</v>
      </c>
      <c r="B47" s="26">
        <f t="shared" si="1"/>
        <v>2614124</v>
      </c>
      <c r="C47" s="22">
        <f t="shared" si="2"/>
        <v>148677.25</v>
      </c>
      <c r="D47" s="26">
        <f t="shared" si="3"/>
        <v>2762801.25</v>
      </c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>
      <c r="A48" s="22">
        <v>35.0</v>
      </c>
      <c r="B48" s="26">
        <f t="shared" si="1"/>
        <v>2691010</v>
      </c>
      <c r="C48" s="22">
        <f t="shared" si="2"/>
        <v>157423.03</v>
      </c>
      <c r="D48" s="26">
        <f t="shared" si="3"/>
        <v>2848433.03</v>
      </c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>
      <c r="A49" s="22">
        <v>36.0</v>
      </c>
      <c r="B49" s="26">
        <f t="shared" si="1"/>
        <v>2767896</v>
      </c>
      <c r="C49" s="22">
        <f t="shared" si="2"/>
        <v>166418.69</v>
      </c>
      <c r="D49" s="26">
        <f t="shared" si="3"/>
        <v>2934314.69</v>
      </c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>
      <c r="A50" s="22">
        <v>37.0</v>
      </c>
      <c r="B50" s="26">
        <f t="shared" si="1"/>
        <v>2844782</v>
      </c>
      <c r="C50" s="22">
        <f t="shared" si="2"/>
        <v>175664.23</v>
      </c>
      <c r="D50" s="26">
        <f t="shared" si="3"/>
        <v>3020446.23</v>
      </c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>
      <c r="A51" s="22">
        <v>38.0</v>
      </c>
      <c r="B51" s="26">
        <f t="shared" si="1"/>
        <v>2921668</v>
      </c>
      <c r="C51" s="22">
        <f t="shared" si="2"/>
        <v>185159.65</v>
      </c>
      <c r="D51" s="26">
        <f t="shared" si="3"/>
        <v>3106827.65</v>
      </c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>
      <c r="A52" s="22">
        <v>39.0</v>
      </c>
      <c r="B52" s="26">
        <f t="shared" si="1"/>
        <v>2998554</v>
      </c>
      <c r="C52" s="22">
        <f t="shared" si="2"/>
        <v>194904.95</v>
      </c>
      <c r="D52" s="26">
        <f t="shared" si="3"/>
        <v>3193458.95</v>
      </c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>
      <c r="A53" s="22">
        <v>40.0</v>
      </c>
      <c r="B53" s="26">
        <f t="shared" si="1"/>
        <v>3075440</v>
      </c>
      <c r="C53" s="22">
        <f t="shared" si="2"/>
        <v>204900.13</v>
      </c>
      <c r="D53" s="26">
        <f t="shared" si="3"/>
        <v>3280340.13</v>
      </c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>
      <c r="A54" s="22">
        <v>41.0</v>
      </c>
      <c r="B54" s="26">
        <f t="shared" si="1"/>
        <v>3152326</v>
      </c>
      <c r="C54" s="22">
        <f t="shared" si="2"/>
        <v>215145.18</v>
      </c>
      <c r="D54" s="26">
        <f t="shared" si="3"/>
        <v>3367471.18</v>
      </c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>
      <c r="A55" s="22">
        <v>42.0</v>
      </c>
      <c r="B55" s="26">
        <f t="shared" si="1"/>
        <v>3229212</v>
      </c>
      <c r="C55" s="22">
        <f t="shared" si="2"/>
        <v>225640.11</v>
      </c>
      <c r="D55" s="26">
        <f t="shared" si="3"/>
        <v>3454852.11</v>
      </c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>
      <c r="A56" s="22">
        <v>43.0</v>
      </c>
      <c r="B56" s="26">
        <f t="shared" si="1"/>
        <v>3306098</v>
      </c>
      <c r="C56" s="22">
        <f t="shared" si="2"/>
        <v>236384.92</v>
      </c>
      <c r="D56" s="26">
        <f t="shared" si="3"/>
        <v>3542482.92</v>
      </c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>
      <c r="A57" s="22">
        <v>44.0</v>
      </c>
      <c r="B57" s="26">
        <f t="shared" si="1"/>
        <v>3382984</v>
      </c>
      <c r="C57" s="22">
        <f t="shared" si="2"/>
        <v>247379.61</v>
      </c>
      <c r="D57" s="26">
        <f t="shared" si="3"/>
        <v>3630363.61</v>
      </c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>
      <c r="A58" s="22">
        <v>45.0</v>
      </c>
      <c r="B58" s="26">
        <f t="shared" si="1"/>
        <v>3459870</v>
      </c>
      <c r="C58" s="22">
        <f t="shared" si="2"/>
        <v>258624.18</v>
      </c>
      <c r="D58" s="26">
        <f t="shared" si="3"/>
        <v>3718494.18</v>
      </c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>
      <c r="A59" s="22">
        <v>46.0</v>
      </c>
      <c r="B59" s="26">
        <f t="shared" si="1"/>
        <v>3536756</v>
      </c>
      <c r="C59" s="22">
        <f t="shared" si="2"/>
        <v>270118.63</v>
      </c>
      <c r="D59" s="26">
        <f t="shared" si="3"/>
        <v>3806874.63</v>
      </c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>
      <c r="A60" s="22">
        <v>47.0</v>
      </c>
      <c r="B60" s="26">
        <f t="shared" si="1"/>
        <v>3613642</v>
      </c>
      <c r="C60" s="22">
        <f t="shared" si="2"/>
        <v>281862.96</v>
      </c>
      <c r="D60" s="26">
        <f t="shared" si="3"/>
        <v>3895504.96</v>
      </c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>
      <c r="A61" s="22">
        <v>48.0</v>
      </c>
      <c r="B61" s="26">
        <f t="shared" si="1"/>
        <v>3690528</v>
      </c>
      <c r="C61" s="22">
        <f t="shared" si="2"/>
        <v>293857.17</v>
      </c>
      <c r="D61" s="26">
        <f t="shared" si="3"/>
        <v>3984385.17</v>
      </c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>
      <c r="A62" s="22">
        <v>49.0</v>
      </c>
      <c r="B62" s="26">
        <f t="shared" si="1"/>
        <v>3767414</v>
      </c>
      <c r="C62" s="22">
        <f t="shared" si="2"/>
        <v>306101.26</v>
      </c>
      <c r="D62" s="26">
        <f t="shared" si="3"/>
        <v>4073515.26</v>
      </c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>
      <c r="A63" s="22">
        <v>50.0</v>
      </c>
      <c r="B63" s="26">
        <f t="shared" si="1"/>
        <v>3844300</v>
      </c>
      <c r="C63" s="22">
        <f t="shared" si="2"/>
        <v>318595.23</v>
      </c>
      <c r="D63" s="26">
        <f t="shared" si="3"/>
        <v>4162895.23</v>
      </c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>
      <c r="A64" s="22">
        <v>51.0</v>
      </c>
      <c r="B64" s="26">
        <f t="shared" si="1"/>
        <v>3921186</v>
      </c>
      <c r="C64" s="22">
        <f t="shared" si="2"/>
        <v>331339.08</v>
      </c>
      <c r="D64" s="26">
        <f t="shared" si="3"/>
        <v>4252525.08</v>
      </c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>
      <c r="A65" s="22">
        <v>52.0</v>
      </c>
      <c r="B65" s="26">
        <f t="shared" si="1"/>
        <v>3998072</v>
      </c>
      <c r="C65" s="22">
        <f t="shared" si="2"/>
        <v>344332.81</v>
      </c>
      <c r="D65" s="26">
        <f t="shared" si="3"/>
        <v>4342404.81</v>
      </c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>
      <c r="A66" s="22">
        <v>53.0</v>
      </c>
      <c r="B66" s="26">
        <f t="shared" si="1"/>
        <v>4074958</v>
      </c>
      <c r="C66" s="22">
        <f t="shared" si="2"/>
        <v>357576.42</v>
      </c>
      <c r="D66" s="26">
        <f t="shared" si="3"/>
        <v>4432534.42</v>
      </c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>
      <c r="A67" s="22">
        <v>54.0</v>
      </c>
      <c r="B67" s="26">
        <f t="shared" si="1"/>
        <v>4151844</v>
      </c>
      <c r="C67" s="22">
        <f t="shared" si="2"/>
        <v>371069.91</v>
      </c>
      <c r="D67" s="26">
        <f t="shared" si="3"/>
        <v>4522913.91</v>
      </c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>
      <c r="A68" s="22">
        <v>55.0</v>
      </c>
      <c r="B68" s="26">
        <f t="shared" si="1"/>
        <v>4228730</v>
      </c>
      <c r="C68" s="22">
        <f t="shared" si="2"/>
        <v>384813.28</v>
      </c>
      <c r="D68" s="26">
        <f t="shared" si="3"/>
        <v>4613543.28</v>
      </c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>
      <c r="A69" s="22">
        <v>56.0</v>
      </c>
      <c r="B69" s="26">
        <f t="shared" si="1"/>
        <v>4305616</v>
      </c>
      <c r="C69" s="22">
        <f t="shared" si="2"/>
        <v>398806.53</v>
      </c>
      <c r="D69" s="26">
        <f t="shared" si="3"/>
        <v>4704422.53</v>
      </c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>
      <c r="A70" s="22">
        <v>57.0</v>
      </c>
      <c r="B70" s="26">
        <f t="shared" si="1"/>
        <v>4382502</v>
      </c>
      <c r="C70" s="22">
        <f t="shared" si="2"/>
        <v>413049.66</v>
      </c>
      <c r="D70" s="26">
        <f t="shared" si="3"/>
        <v>4795551.66</v>
      </c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>
      <c r="A71" s="22">
        <v>58.0</v>
      </c>
      <c r="B71" s="26">
        <f t="shared" si="1"/>
        <v>4459388</v>
      </c>
      <c r="C71" s="22">
        <f t="shared" si="2"/>
        <v>427542.67</v>
      </c>
      <c r="D71" s="26">
        <f t="shared" si="3"/>
        <v>4886930.67</v>
      </c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>
      <c r="A72" s="22">
        <v>59.0</v>
      </c>
      <c r="B72" s="26">
        <f t="shared" si="1"/>
        <v>4536274</v>
      </c>
      <c r="C72" s="22">
        <f t="shared" si="2"/>
        <v>442285.56</v>
      </c>
      <c r="D72" s="26">
        <f t="shared" si="3"/>
        <v>4978559.56</v>
      </c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>
      <c r="A73" s="22">
        <v>60.0</v>
      </c>
      <c r="B73" s="26">
        <f t="shared" si="1"/>
        <v>4613160</v>
      </c>
      <c r="C73" s="22">
        <f t="shared" si="2"/>
        <v>457278.33</v>
      </c>
      <c r="D73" s="26">
        <f t="shared" si="3"/>
        <v>5070438.33</v>
      </c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  <row r="1001">
      <c r="A1001" s="22"/>
      <c r="B1001" s="22"/>
      <c r="C1001" s="22"/>
      <c r="D1001" s="22"/>
      <c r="E1001" s="22"/>
      <c r="F1001" s="22"/>
      <c r="G1001" s="22"/>
      <c r="H1001" s="22"/>
      <c r="I1001" s="22"/>
      <c r="J1001" s="22"/>
      <c r="K1001" s="22"/>
      <c r="L1001" s="22"/>
      <c r="M1001" s="22"/>
      <c r="N1001" s="22"/>
      <c r="O1001" s="22"/>
      <c r="P1001" s="22"/>
      <c r="Q1001" s="22"/>
      <c r="R1001" s="22"/>
      <c r="S1001" s="22"/>
      <c r="T1001" s="22"/>
      <c r="U1001" s="22"/>
      <c r="V1001" s="22"/>
      <c r="W1001" s="22"/>
      <c r="X1001" s="22"/>
      <c r="Y1001" s="22"/>
      <c r="Z1001" s="22"/>
    </row>
    <row r="1002">
      <c r="A1002" s="22"/>
      <c r="B1002" s="22"/>
      <c r="C1002" s="22"/>
      <c r="D1002" s="22"/>
      <c r="E1002" s="22"/>
      <c r="F1002" s="22"/>
      <c r="G1002" s="22"/>
      <c r="H1002" s="22"/>
      <c r="I1002" s="22"/>
      <c r="J1002" s="22"/>
      <c r="K1002" s="22"/>
      <c r="L1002" s="22"/>
      <c r="M1002" s="22"/>
      <c r="N1002" s="22"/>
      <c r="O1002" s="22"/>
      <c r="P1002" s="22"/>
      <c r="Q1002" s="22"/>
      <c r="R1002" s="22"/>
      <c r="S1002" s="22"/>
      <c r="T1002" s="22"/>
      <c r="U1002" s="22"/>
      <c r="V1002" s="22"/>
      <c r="W1002" s="22"/>
      <c r="X1002" s="22"/>
      <c r="Y1002" s="22"/>
      <c r="Z1002" s="22"/>
    </row>
    <row r="1003">
      <c r="A1003" s="22"/>
      <c r="B1003" s="22"/>
      <c r="C1003" s="22"/>
      <c r="D1003" s="22"/>
      <c r="E1003" s="22"/>
      <c r="F1003" s="22"/>
      <c r="G1003" s="22"/>
      <c r="H1003" s="22"/>
      <c r="I1003" s="22"/>
      <c r="J1003" s="22"/>
      <c r="K1003" s="22"/>
      <c r="L1003" s="22"/>
      <c r="M1003" s="22"/>
      <c r="N1003" s="22"/>
      <c r="O1003" s="22"/>
      <c r="P1003" s="22"/>
      <c r="Q1003" s="22"/>
      <c r="R1003" s="22"/>
      <c r="S1003" s="22"/>
      <c r="T1003" s="22"/>
      <c r="U1003" s="22"/>
      <c r="V1003" s="22"/>
      <c r="W1003" s="22"/>
      <c r="X1003" s="22"/>
      <c r="Y1003" s="22"/>
      <c r="Z1003" s="22"/>
    </row>
    <row r="1004">
      <c r="A1004" s="22"/>
      <c r="B1004" s="22"/>
      <c r="C1004" s="22"/>
      <c r="D1004" s="22"/>
      <c r="E1004" s="22"/>
      <c r="F1004" s="22"/>
      <c r="G1004" s="22"/>
      <c r="H1004" s="22"/>
      <c r="I1004" s="22"/>
      <c r="J1004" s="22"/>
      <c r="K1004" s="22"/>
      <c r="L1004" s="22"/>
      <c r="M1004" s="22"/>
      <c r="N1004" s="22"/>
      <c r="O1004" s="22"/>
      <c r="P1004" s="22"/>
      <c r="Q1004" s="22"/>
      <c r="R1004" s="22"/>
      <c r="S1004" s="22"/>
      <c r="T1004" s="22"/>
      <c r="U1004" s="22"/>
      <c r="V1004" s="22"/>
      <c r="W1004" s="22"/>
      <c r="X1004" s="22"/>
      <c r="Y1004" s="22"/>
      <c r="Z1004" s="22"/>
    </row>
    <row r="1005">
      <c r="A1005" s="22"/>
      <c r="B1005" s="22"/>
      <c r="C1005" s="22"/>
      <c r="D1005" s="22"/>
      <c r="E1005" s="22"/>
      <c r="F1005" s="22"/>
      <c r="G1005" s="22"/>
      <c r="H1005" s="22"/>
      <c r="I1005" s="22"/>
      <c r="J1005" s="22"/>
      <c r="K1005" s="22"/>
      <c r="L1005" s="22"/>
      <c r="M1005" s="22"/>
      <c r="N1005" s="22"/>
      <c r="O1005" s="22"/>
      <c r="P1005" s="22"/>
      <c r="Q1005" s="22"/>
      <c r="R1005" s="22"/>
      <c r="S1005" s="22"/>
      <c r="T1005" s="22"/>
      <c r="U1005" s="22"/>
      <c r="V1005" s="22"/>
      <c r="W1005" s="22"/>
      <c r="X1005" s="22"/>
      <c r="Y1005" s="22"/>
      <c r="Z1005" s="22"/>
    </row>
    <row r="1006">
      <c r="A1006" s="22"/>
      <c r="B1006" s="22"/>
      <c r="C1006" s="22"/>
      <c r="D1006" s="22"/>
      <c r="E1006" s="22"/>
      <c r="F1006" s="22"/>
      <c r="G1006" s="22"/>
      <c r="H1006" s="22"/>
      <c r="I1006" s="22"/>
      <c r="J1006" s="22"/>
      <c r="K1006" s="22"/>
      <c r="L1006" s="22"/>
      <c r="M1006" s="22"/>
      <c r="N1006" s="22"/>
      <c r="O1006" s="22"/>
      <c r="P1006" s="22"/>
      <c r="Q1006" s="22"/>
      <c r="R1006" s="22"/>
      <c r="S1006" s="22"/>
      <c r="T1006" s="22"/>
      <c r="U1006" s="22"/>
      <c r="V1006" s="22"/>
      <c r="W1006" s="22"/>
      <c r="X1006" s="22"/>
      <c r="Y1006" s="22"/>
      <c r="Z1006" s="22"/>
    </row>
    <row r="1007">
      <c r="A1007" s="22"/>
      <c r="B1007" s="22"/>
      <c r="C1007" s="22"/>
      <c r="D1007" s="22"/>
      <c r="E1007" s="22"/>
      <c r="F1007" s="22"/>
      <c r="G1007" s="22"/>
      <c r="H1007" s="22"/>
      <c r="I1007" s="22"/>
      <c r="J1007" s="22"/>
      <c r="K1007" s="22"/>
      <c r="L1007" s="22"/>
      <c r="M1007" s="22"/>
      <c r="N1007" s="22"/>
      <c r="O1007" s="22"/>
      <c r="P1007" s="22"/>
      <c r="Q1007" s="22"/>
      <c r="R1007" s="22"/>
      <c r="S1007" s="22"/>
      <c r="T1007" s="22"/>
      <c r="U1007" s="22"/>
      <c r="V1007" s="22"/>
      <c r="W1007" s="22"/>
      <c r="X1007" s="22"/>
      <c r="Y1007" s="22"/>
      <c r="Z1007" s="22"/>
    </row>
    <row r="1008">
      <c r="A1008" s="22"/>
      <c r="B1008" s="22"/>
      <c r="C1008" s="22"/>
      <c r="D1008" s="22"/>
      <c r="E1008" s="22"/>
      <c r="F1008" s="22"/>
      <c r="G1008" s="22"/>
      <c r="H1008" s="22"/>
      <c r="I1008" s="22"/>
      <c r="J1008" s="22"/>
      <c r="K1008" s="22"/>
      <c r="L1008" s="22"/>
      <c r="M1008" s="22"/>
      <c r="N1008" s="22"/>
      <c r="O1008" s="22"/>
      <c r="P1008" s="22"/>
      <c r="Q1008" s="22"/>
      <c r="R1008" s="22"/>
      <c r="S1008" s="22"/>
      <c r="T1008" s="22"/>
      <c r="U1008" s="22"/>
      <c r="V1008" s="22"/>
      <c r="W1008" s="22"/>
      <c r="X1008" s="22"/>
      <c r="Y1008" s="22"/>
      <c r="Z1008" s="22"/>
    </row>
    <row r="1009">
      <c r="A1009" s="22"/>
      <c r="B1009" s="22"/>
      <c r="C1009" s="22"/>
      <c r="D1009" s="22"/>
      <c r="E1009" s="22"/>
      <c r="F1009" s="22"/>
      <c r="G1009" s="22"/>
      <c r="H1009" s="22"/>
      <c r="I1009" s="22"/>
      <c r="J1009" s="22"/>
      <c r="K1009" s="22"/>
      <c r="L1009" s="22"/>
      <c r="M1009" s="22"/>
      <c r="N1009" s="22"/>
      <c r="O1009" s="22"/>
      <c r="P1009" s="22"/>
      <c r="Q1009" s="22"/>
      <c r="R1009" s="22"/>
      <c r="S1009" s="22"/>
      <c r="T1009" s="22"/>
      <c r="U1009" s="22"/>
      <c r="V1009" s="22"/>
      <c r="W1009" s="22"/>
      <c r="X1009" s="22"/>
      <c r="Y1009" s="22"/>
      <c r="Z1009" s="22"/>
    </row>
  </sheetData>
  <drawing r:id="rId1"/>
</worksheet>
</file>